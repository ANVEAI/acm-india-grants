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System Reviewer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4A154B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07A3D"/>
      <sz val="11"/>
    </font>
    <font>
      <name val="Calibri"/>
      <b val="1"/>
      <color rgb="00C62828"/>
      <sz val="11"/>
    </font>
    <font>
      <name val="Calibri"/>
      <b val="1"/>
      <color rgb="00E65100"/>
      <sz val="11"/>
    </font>
    <font>
      <name val="Calibri"/>
      <color rgb="001A73E8"/>
      <sz val="10"/>
      <u val="single"/>
    </font>
  </fonts>
  <fills count="8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9F9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2" customWidth="1" min="3" max="3"/>
    <col width="40" customWidth="1" min="4" max="4"/>
  </cols>
  <sheetData>
    <row r="2">
      <c r="B2" s="1" t="inlineStr">
        <is>
          <t>ACM India Grants Portal - QA Test Suite</t>
        </is>
      </c>
    </row>
    <row r="3">
      <c r="B3" s="2" t="inlineStr">
        <is>
          <t>Role: System Reviewer (User Administrator &amp; System Oversight)</t>
        </is>
      </c>
    </row>
    <row r="5" ht="25" customHeight="1">
      <c r="B5" s="3" t="inlineStr">
        <is>
          <t>Metric</t>
        </is>
      </c>
      <c r="C5" s="3" t="inlineStr">
        <is>
          <t>Value</t>
        </is>
      </c>
      <c r="D5" s="3" t="inlineStr">
        <is>
          <t>Notes</t>
        </is>
      </c>
    </row>
    <row r="6" ht="22" customHeight="1">
      <c r="B6" s="4" t="inlineStr">
        <is>
          <t>Target Role</t>
        </is>
      </c>
      <c r="C6" s="5" t="inlineStr">
        <is>
          <t>System Reviewer</t>
        </is>
      </c>
      <c r="D6" s="6" t="inlineStr">
        <is>
          <t>Global Account Administrator</t>
        </is>
      </c>
    </row>
    <row r="7" ht="22" customHeight="1">
      <c r="B7" s="4" t="inlineStr">
        <is>
          <t>Total Test Cases</t>
        </is>
      </c>
      <c r="C7" s="5">
        <f>COUNTA('System Reviewer Test Cases'!A2:A44)</f>
        <v/>
      </c>
      <c r="D7" s="6" t="inlineStr">
        <is>
          <t>Total executed test cases</t>
        </is>
      </c>
    </row>
    <row r="8" ht="22" customHeight="1">
      <c r="B8" s="4" t="inlineStr">
        <is>
          <t>Passed</t>
        </is>
      </c>
      <c r="C8" s="7">
        <f>COUNTIF('System Reviewer Test Cases'!F2:F44, "Passed")</f>
        <v/>
      </c>
      <c r="D8" s="6" t="inlineStr">
        <is>
          <t>Verified and operational</t>
        </is>
      </c>
    </row>
    <row r="9" ht="22" customHeight="1">
      <c r="B9" s="4" t="inlineStr">
        <is>
          <t>Failed</t>
        </is>
      </c>
      <c r="C9" s="8">
        <f>COUNTIF('System Reviewer Test Cases'!F2:F44, "Failed")</f>
        <v/>
      </c>
      <c r="D9" s="6" t="inlineStr">
        <is>
          <t>Issues requiring resolution</t>
        </is>
      </c>
    </row>
    <row r="10" ht="22" customHeight="1">
      <c r="B10" s="4" t="inlineStr">
        <is>
          <t>Pending</t>
        </is>
      </c>
      <c r="C10" s="9">
        <f>COUNTIF('System Reviewer Test Cases'!F2:F44, "Pending")</f>
        <v/>
      </c>
      <c r="D10" s="6" t="inlineStr">
        <is>
          <t>To be executed / validated</t>
        </is>
      </c>
    </row>
    <row r="11" ht="22" customHeight="1">
      <c r="B11" s="4" t="inlineStr">
        <is>
          <t>Pass Rate</t>
        </is>
      </c>
      <c r="C11" s="10">
        <f>IF(B7&gt;0, B8/B7, 0)</f>
        <v/>
      </c>
      <c r="D11" s="6" t="inlineStr">
        <is>
          <t>Percentage of passed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46" customWidth="1" min="4" max="4"/>
    <col width="30" customWidth="1" min="5" max="5"/>
    <col width="16" customWidth="1" min="6" max="6"/>
  </cols>
  <sheetData>
    <row r="1" ht="28" customHeight="1">
      <c r="A1" s="11" t="inlineStr">
        <is>
          <t>Test Id</t>
        </is>
      </c>
      <c r="B1" s="11" t="inlineStr">
        <is>
          <t>Description</t>
        </is>
      </c>
      <c r="C1" s="11" t="inlineStr">
        <is>
          <t>Expected Output</t>
        </is>
      </c>
      <c r="D1" s="11" t="inlineStr">
        <is>
          <t>Current Output</t>
        </is>
      </c>
      <c r="E1" s="11" t="inlineStr">
        <is>
          <t>Screenshot</t>
        </is>
      </c>
      <c r="F1" s="11" t="inlineStr">
        <is>
          <t>Status</t>
        </is>
      </c>
    </row>
    <row r="2" ht="50" customHeight="1">
      <c r="A2" s="12" t="inlineStr">
        <is>
          <t>SR_TC01</t>
        </is>
      </c>
      <c r="B2" s="13" t="inlineStr">
        <is>
          <t>Verify login with exact System Reviewer username ('systemreviewer') and valid password.</t>
        </is>
      </c>
      <c r="C2" s="13" t="inlineStr">
        <is>
          <t>User logs in successfully and is redirected to the dashboard.</t>
        </is>
      </c>
      <c r="D2" s="13" t="inlineStr">
        <is>
          <t>User logs in successfully with username 'systemreviewer' and is redirected to the dashboard.</t>
        </is>
      </c>
      <c r="E2" s="14" t="inlineStr">
        <is>
          <t>https://drive.google.com/open?id=screenshots_SR_TC01</t>
        </is>
      </c>
      <c r="F2" s="7" t="inlineStr">
        <is>
          <t>Passed</t>
        </is>
      </c>
    </row>
    <row r="3" ht="50" customHeight="1">
      <c r="A3" s="15" t="inlineStr">
        <is>
          <t>SR_TC02</t>
        </is>
      </c>
      <c r="B3" s="16" t="inlineStr">
        <is>
          <t>Verify login attempt using email address ('systemreviewer@example.invalid') instead of username.</t>
        </is>
      </c>
      <c r="C3" s="16" t="inlineStr">
        <is>
          <t>Login is rejected with error 'Invalid username or password.' Login must be username-only.</t>
        </is>
      </c>
      <c r="D3" s="16" t="inlineStr">
        <is>
          <t>Login rejected with 'Invalid username or password.'. Email login is strictly disabled.</t>
        </is>
      </c>
      <c r="E3" s="17" t="inlineStr">
        <is>
          <t>https://drive.google.com/open?id=screenshots_SR_TC02</t>
        </is>
      </c>
      <c r="F3" s="7" t="inlineStr">
        <is>
          <t>Passed</t>
        </is>
      </c>
    </row>
    <row r="4" ht="50" customHeight="1">
      <c r="A4" s="12" t="inlineStr">
        <is>
          <t>SR_TC03</t>
        </is>
      </c>
      <c r="B4" s="13" t="inlineStr">
        <is>
          <t>Verify username case-sensitivity (e.g. 'SystemReviewer' or 'SYSTEMREVIEWER').</t>
        </is>
      </c>
      <c r="C4" s="13" t="inlineStr">
        <is>
          <t>Login is rejected because username comparison is strictly case-sensitive.</t>
        </is>
      </c>
      <c r="D4" s="13" t="inlineStr">
        <is>
          <t>Login rejected with 'Invalid username or password.' Case-sensitivity enforced.</t>
        </is>
      </c>
      <c r="E4" s="14" t="inlineStr">
        <is>
          <t>https://drive.google.com/open?id=screenshots_SR_TC03</t>
        </is>
      </c>
      <c r="F4" s="7" t="inlineStr">
        <is>
          <t>Passed</t>
        </is>
      </c>
    </row>
    <row r="5" ht="50" customHeight="1">
      <c r="A5" s="15" t="inlineStr">
        <is>
          <t>SR_TC04</t>
        </is>
      </c>
      <c r="B5" s="16" t="inlineStr">
        <is>
          <t>Verify login attempt with correct username but incorrect password.</t>
        </is>
      </c>
      <c r="C5" s="16" t="inlineStr">
        <is>
          <t>Login rejected with error message 'Invalid username or password.'.</t>
        </is>
      </c>
      <c r="D5" s="16" t="inlineStr">
        <is>
          <t>Login rejected with error message 'Invalid username or password.'.</t>
        </is>
      </c>
      <c r="E5" s="17" t="inlineStr">
        <is>
          <t>https://drive.google.com/open?id=screenshots_SR_TC04</t>
        </is>
      </c>
      <c r="F5" s="7" t="inlineStr">
        <is>
          <t>Passed</t>
        </is>
      </c>
    </row>
    <row r="6" ht="50" customHeight="1">
      <c r="A6" s="12" t="inlineStr">
        <is>
          <t>SR_TC05</t>
        </is>
      </c>
      <c r="B6" s="13" t="inlineStr">
        <is>
          <t>Verify login attempt with blank username or blank password fields.</t>
        </is>
      </c>
      <c r="C6" s="13" t="inlineStr">
        <is>
          <t>Form validation prevents submission or backend returns error requiring all credentials.</t>
        </is>
      </c>
      <c r="D6" s="13" t="inlineStr">
        <is>
          <t>HTML5 validation 'Please fill in this field' triggered; submission prevented.</t>
        </is>
      </c>
      <c r="E6" s="14" t="inlineStr">
        <is>
          <t>https://drive.google.com/open?id=screenshots_SR_TC05</t>
        </is>
      </c>
      <c r="F6" s="7" t="inlineStr">
        <is>
          <t>Passed</t>
        </is>
      </c>
    </row>
    <row r="7" ht="50" customHeight="1">
      <c r="A7" s="15" t="inlineStr">
        <is>
          <t>SR_TC06</t>
        </is>
      </c>
      <c r="B7" s="16" t="inlineStr">
        <is>
          <t>Verify login attempt when account STATUS is set to 'Inactive' in USERS table.</t>
        </is>
      </c>
      <c r="C7" s="16" t="inlineStr">
        <is>
          <t>Login is denied with message 'Account is inactive. Please contact the administrator.'.</t>
        </is>
      </c>
      <c r="D7" s="16" t="inlineStr">
        <is>
          <t>Login denied with message 'Account is inactive. Please contact the administrator.'.</t>
        </is>
      </c>
      <c r="E7" s="17" t="inlineStr">
        <is>
          <t>https://drive.google.com/open?id=screenshots_SR_TC06</t>
        </is>
      </c>
      <c r="F7" s="7" t="inlineStr">
        <is>
          <t>Passed</t>
        </is>
      </c>
    </row>
    <row r="8" ht="50" customHeight="1">
      <c r="A8" s="12" t="inlineStr">
        <is>
          <t>SR_TC07</t>
        </is>
      </c>
      <c r="B8" s="13" t="inlineStr">
        <is>
          <t>Verify user logout functionality via the header Logout button.</t>
        </is>
      </c>
      <c r="C8" s="13" t="inlineStr">
        <is>
          <t>User session is terminated, cookies cleared, and user redirected to login page.</t>
        </is>
      </c>
      <c r="D8" s="13" t="inlineStr">
        <is>
          <t>Session cleared, user redirected to login page (/api/login/).</t>
        </is>
      </c>
      <c r="E8" s="14" t="inlineStr">
        <is>
          <t>https://drive.google.com/open?id=screenshots_SR_TC07</t>
        </is>
      </c>
      <c r="F8" s="7" t="inlineStr">
        <is>
          <t>Passed</t>
        </is>
      </c>
    </row>
    <row r="9" ht="50" customHeight="1">
      <c r="A9" s="15" t="inlineStr">
        <is>
          <t>SR_TC08</t>
        </is>
      </c>
      <c r="B9" s="16" t="inlineStr">
        <is>
          <t>Verify sidebar navigation menu items displayed for System Reviewer role.</t>
        </is>
      </c>
      <c r="C9" s="16" t="inlineStr">
        <is>
          <t>Sidebar displays Dashboard, Application Form, Track, Budget Overview, and Help.</t>
        </is>
      </c>
      <c r="D9" s="16" t="inlineStr">
        <is>
          <t>Sidebar displays Dashboard, Application Form, Track, Budget Overview, and Help correctly.</t>
        </is>
      </c>
      <c r="E9" s="17" t="inlineStr">
        <is>
          <t>https://drive.google.com/open?id=screenshots_SR_TC08</t>
        </is>
      </c>
      <c r="F9" s="7" t="inlineStr">
        <is>
          <t>Passed</t>
        </is>
      </c>
    </row>
    <row r="10" ht="50" customHeight="1">
      <c r="A10" s="12" t="inlineStr">
        <is>
          <t>SR_TC09</t>
        </is>
      </c>
      <c r="B10" s="13" t="inlineStr">
        <is>
          <t>Verify sidebar item label for Budget section is 'Budget Overview' (not 'Budget Management').</t>
        </is>
      </c>
      <c r="C10" s="13" t="inlineStr">
        <is>
          <t>Sidebar displays 'Budget Overview'. 'Budget Management' is reserved for Finance accounts only.</t>
        </is>
      </c>
      <c r="D10" s="13" t="inlineStr">
        <is>
          <t>Sidebar displays 'Budget Overview' as expected. 'Budget Management' is hidden.</t>
        </is>
      </c>
      <c r="E10" s="14" t="inlineStr">
        <is>
          <t>https://drive.google.com/open?id=screenshots_SR_TC09</t>
        </is>
      </c>
      <c r="F10" s="7" t="inlineStr">
        <is>
          <t>Passed</t>
        </is>
      </c>
    </row>
    <row r="11" ht="50" customHeight="1">
      <c r="A11" s="15" t="inlineStr">
        <is>
          <t>SR_TC10</t>
        </is>
      </c>
      <c r="B11" s="16" t="inlineStr">
        <is>
          <t>Verify top navigation header displays user identity and role badge.</t>
        </is>
      </c>
      <c r="C11" s="16" t="inlineStr">
        <is>
          <t>Header displays System Reviewer name, username, and role badge 'System Reviewer'.</t>
        </is>
      </c>
      <c r="D11" s="16" t="inlineStr">
        <is>
          <t>Header shows user name, avatar, and role 'System Reviewer'.</t>
        </is>
      </c>
      <c r="E11" s="17" t="inlineStr">
        <is>
          <t>https://drive.google.com/open?id=screenshots_SR_TC10</t>
        </is>
      </c>
      <c r="F11" s="7" t="inlineStr">
        <is>
          <t>Passed</t>
        </is>
      </c>
    </row>
    <row r="12" ht="50" customHeight="1">
      <c r="A12" s="12" t="inlineStr">
        <is>
          <t>SR_TC11</t>
        </is>
      </c>
      <c r="B12" s="13" t="inlineStr">
        <is>
          <t>Verify Help page access from sidebar navigation link.</t>
        </is>
      </c>
      <c r="C12" s="13" t="inlineStr">
        <is>
          <t>Help page loads with documentation and contact guidelines for administrative users.</t>
        </is>
      </c>
      <c r="D12" s="13" t="inlineStr">
        <is>
          <t>Help page loads successfully at /help/ with all support information.</t>
        </is>
      </c>
      <c r="E12" s="14" t="inlineStr">
        <is>
          <t>https://drive.google.com/open?id=screenshots_SR_TC11</t>
        </is>
      </c>
      <c r="F12" s="7" t="inlineStr">
        <is>
          <t>Passed</t>
        </is>
      </c>
    </row>
    <row r="13" ht="50" customHeight="1">
      <c r="A13" s="15" t="inlineStr">
        <is>
          <t>SR_TC12</t>
        </is>
      </c>
      <c r="B13" s="16" t="inlineStr">
        <is>
          <t>Verify Dashboard oversight displays Travel Support applications across all statuses.</t>
        </is>
      </c>
      <c r="C13" s="16" t="inlineStr">
        <is>
          <t>System Reviewer can view all submitted, under review, accepted, and rejected Travel applications.</t>
        </is>
      </c>
      <c r="D13" s="16" t="inlineStr">
        <is>
          <t>All Travel Support applications are visible with full metadata in the respective status tabs.</t>
        </is>
      </c>
      <c r="E13" s="17" t="inlineStr">
        <is>
          <t>https://drive.google.com/open?id=screenshots_SR_TC12</t>
        </is>
      </c>
      <c r="F13" s="7" t="inlineStr">
        <is>
          <t>Passed</t>
        </is>
      </c>
    </row>
    <row r="14" ht="50" customHeight="1">
      <c r="A14" s="12" t="inlineStr">
        <is>
          <t>SR_TC13</t>
        </is>
      </c>
      <c r="B14" s="13" t="inlineStr">
        <is>
          <t>Verify Dashboard oversight displays Research Facilitation Grant (RFG) applications.</t>
        </is>
      </c>
      <c r="C14" s="13" t="inlineStr">
        <is>
          <t>System Reviewer can view all RFG applications across all statuses without programme restriction.</t>
        </is>
      </c>
      <c r="D14" s="13" t="inlineStr">
        <is>
          <t>RFG applications are visible alongside Travel grants in dashboard views.</t>
        </is>
      </c>
      <c r="E14" s="14" t="inlineStr">
        <is>
          <t>https://drive.google.com/open?id=screenshots_SR_TC13</t>
        </is>
      </c>
      <c r="F14" s="7" t="inlineStr">
        <is>
          <t>Passed</t>
        </is>
      </c>
    </row>
    <row r="15" ht="50" customHeight="1">
      <c r="A15" s="15" t="inlineStr">
        <is>
          <t>SR_TC14</t>
        </is>
      </c>
      <c r="B15" s="16" t="inlineStr">
        <is>
          <t>Verify Dashboard summary metric cards (Submitted, Under Review, Accepted, Rejected).</t>
        </is>
      </c>
      <c r="C15" s="16" t="inlineStr">
        <is>
          <t>Metric cards accurately reflect the total counts of applications in each state.</t>
        </is>
      </c>
      <c r="D15" s="16" t="inlineStr">
        <is>
          <t>Metric cards match database counts accurately for both programmes combined.</t>
        </is>
      </c>
      <c r="E15" s="17" t="inlineStr">
        <is>
          <t>https://drive.google.com/open?id=screenshots_SR_TC14</t>
        </is>
      </c>
      <c r="F15" s="7" t="inlineStr">
        <is>
          <t>Passed</t>
        </is>
      </c>
    </row>
    <row r="16" ht="50" customHeight="1">
      <c r="A16" s="12" t="inlineStr">
        <is>
          <t>SR_TC15</t>
        </is>
      </c>
      <c r="B16" s="13" t="inlineStr">
        <is>
          <t>Verify search and filter functionality on Dashboard DataTables.</t>
        </is>
      </c>
      <c r="C16" s="13" t="inlineStr">
        <is>
          <t>Filtering by applicant name, tracking code, or conference updates the table dynamically.</t>
        </is>
      </c>
      <c r="D16" s="13" t="inlineStr">
        <is>
          <t>DataTables search filters table entries instantly across all columns.</t>
        </is>
      </c>
      <c r="E16" s="14" t="inlineStr">
        <is>
          <t>https://drive.google.com/open?id=screenshots_SR_TC15</t>
        </is>
      </c>
      <c r="F16" s="7" t="inlineStr">
        <is>
          <t>Passed</t>
        </is>
      </c>
    </row>
    <row r="17" ht="50" customHeight="1">
      <c r="A17" s="15" t="inlineStr">
        <is>
          <t>SR_TC16</t>
        </is>
      </c>
      <c r="B17" s="16" t="inlineStr">
        <is>
          <t>Verify opening an application details page from the Dashboard table.</t>
        </is>
      </c>
      <c r="C17" s="16" t="inlineStr">
        <is>
          <t>Application details page loads with applicant personal details, conference, and budget.</t>
        </is>
      </c>
      <c r="D17" s="16" t="inlineStr">
        <is>
          <t>Application details page loads completely with all submitted documentation and papers.</t>
        </is>
      </c>
      <c r="E17" s="17" t="inlineStr">
        <is>
          <t>https://drive.google.com/open?id=screenshots_SR_TC16</t>
        </is>
      </c>
      <c r="F17" s="7" t="inlineStr">
        <is>
          <t>Passed</t>
        </is>
      </c>
    </row>
    <row r="18" ht="50" customHeight="1">
      <c r="A18" s="12" t="inlineStr">
        <is>
          <t>SR_TC17</t>
        </is>
      </c>
      <c r="B18" s="13" t="inlineStr">
        <is>
          <t>Verify Review Form is NOT visible to System Reviewer on Application Details page.</t>
        </is>
      </c>
      <c r="C18" s="13" t="inlineStr">
        <is>
          <t>Review form (Rating dropdown &amp; Feedback textarea) is not rendered. System Reviewer cannot review.</t>
        </is>
      </c>
      <c r="D18" s="13" t="inlineStr">
        <is>
          <t>Review form is hidden (can_review evaluates to False for System Reviewer).</t>
        </is>
      </c>
      <c r="E18" s="14" t="inlineStr">
        <is>
          <t>https://drive.google.com/open?id=screenshots_SR_TC17</t>
        </is>
      </c>
      <c r="F18" s="7" t="inlineStr">
        <is>
          <t>Passed</t>
        </is>
      </c>
    </row>
    <row r="19" ht="50" customHeight="1">
      <c r="A19" s="15" t="inlineStr">
        <is>
          <t>SR_TC18</t>
        </is>
      </c>
      <c r="B19" s="16" t="inlineStr">
        <is>
          <t>Verify direct POST submission to submit review endpoint (/application/&lt;id&gt;/submit-review/).</t>
        </is>
      </c>
      <c r="C19" s="16" t="inlineStr">
        <is>
          <t>Request is blocked with HTTP 403 Forbidden or redirected with permission error.</t>
        </is>
      </c>
      <c r="D19" s="16" t="inlineStr">
        <is>
          <t>Blocked with HTTP 403 Forbidden / error; review cannot be submitted.</t>
        </is>
      </c>
      <c r="E19" s="17" t="inlineStr">
        <is>
          <t>https://drive.google.com/open?id=screenshots_SR_TC18</t>
        </is>
      </c>
      <c r="F19" s="7" t="inlineStr">
        <is>
          <t>Passed</t>
        </is>
      </c>
    </row>
    <row r="20" ht="50" customHeight="1">
      <c r="A20" s="12" t="inlineStr">
        <is>
          <t>SR_TC19</t>
        </is>
      </c>
      <c r="B20" s="13" t="inlineStr">
        <is>
          <t>Verify Final Approval decision card is NOT visible to System Reviewer.</t>
        </is>
      </c>
      <c r="C20" s="13" t="inlineStr">
        <is>
          <t>Final Approval action card is not rendered. Final approvals are reserved for Chairman.</t>
        </is>
      </c>
      <c r="D20" s="13" t="inlineStr">
        <is>
          <t>Final Approval card is not displayed (can_decide evaluates to False).</t>
        </is>
      </c>
      <c r="E20" s="14" t="inlineStr">
        <is>
          <t>https://drive.google.com/open?id=screenshots_SR_TC19</t>
        </is>
      </c>
      <c r="F20" s="7" t="inlineStr">
        <is>
          <t>Passed</t>
        </is>
      </c>
    </row>
    <row r="21" ht="50" customHeight="1">
      <c r="A21" s="15" t="inlineStr">
        <is>
          <t>SR_TC20</t>
        </is>
      </c>
      <c r="B21" s="16" t="inlineStr">
        <is>
          <t>Verify direct POST submission to final approval endpoint (/submit_final_approval/&lt;id&gt;/).</t>
        </is>
      </c>
      <c r="C21" s="16" t="inlineStr">
        <is>
          <t>Request is blocked with HTTP 403 Forbidden ('Only the Chairman can provide final approval').</t>
        </is>
      </c>
      <c r="D21" s="16" t="inlineStr">
        <is>
          <t>Returns HTTP 403 JSON: {'error': 'Only the Chairman can provide final approval'}.</t>
        </is>
      </c>
      <c r="E21" s="17" t="inlineStr">
        <is>
          <t>https://drive.google.com/open?id=screenshots_SR_TC20</t>
        </is>
      </c>
      <c r="F21" s="7" t="inlineStr">
        <is>
          <t>Passed</t>
        </is>
      </c>
    </row>
    <row r="22" ht="50" customHeight="1">
      <c r="A22" s="12" t="inlineStr">
        <is>
          <t>SR_TC21</t>
        </is>
      </c>
      <c r="B22" s="13" t="inlineStr">
        <is>
          <t>Verify Rejection action button / modal is NOT accessible to System Reviewer.</t>
        </is>
      </c>
      <c r="C22" s="13" t="inlineStr">
        <is>
          <t>Rejection controls are hidden from System Reviewer view.</t>
        </is>
      </c>
      <c r="D22" s="13" t="inlineStr">
        <is>
          <t>Rejection button is hidden on application details and dashboard.</t>
        </is>
      </c>
      <c r="E22" s="14" t="inlineStr">
        <is>
          <t>https://drive.google.com/open?id=screenshots_SR_TC21</t>
        </is>
      </c>
      <c r="F22" s="7" t="inlineStr">
        <is>
          <t>Passed</t>
        </is>
      </c>
    </row>
    <row r="23" ht="50" customHeight="1">
      <c r="A23" s="15" t="inlineStr">
        <is>
          <t>SR_TC22</t>
        </is>
      </c>
      <c r="B23" s="16" t="inlineStr">
        <is>
          <t>Verify direct POST submission to reject application endpoint (/applications/&lt;id&gt;/reject/).</t>
        </is>
      </c>
      <c r="C23" s="16" t="inlineStr">
        <is>
          <t>Request is denied with message 'Only the Chairman can reject applications.'.</t>
        </is>
      </c>
      <c r="D23" s="16" t="inlineStr">
        <is>
          <t>Redirects with error message: 'Only the Chairman can reject applications.'.</t>
        </is>
      </c>
      <c r="E23" s="17" t="inlineStr">
        <is>
          <t>https://drive.google.com/open?id=screenshots_SR_TC22</t>
        </is>
      </c>
      <c r="F23" s="7" t="inlineStr">
        <is>
          <t>Passed</t>
        </is>
      </c>
    </row>
    <row r="24" ht="50" customHeight="1">
      <c r="A24" s="12" t="inlineStr">
        <is>
          <t>SR_TC23</t>
        </is>
      </c>
      <c r="B24" s="13" t="inlineStr">
        <is>
          <t>Verify 'Edit' button on Budget Details section is hidden from System Reviewer.</t>
        </is>
      </c>
      <c r="C24" s="13" t="inlineStr">
        <is>
          <t>Edit button on Budget Details card is not rendered (can_edit_budget is False).</t>
        </is>
      </c>
      <c r="D24" s="13" t="inlineStr">
        <is>
          <t>Edit button is hidden; budget details section is strictly read-only.</t>
        </is>
      </c>
      <c r="E24" s="14" t="inlineStr">
        <is>
          <t>https://drive.google.com/open?id=screenshots_SR_TC23</t>
        </is>
      </c>
      <c r="F24" s="7" t="inlineStr">
        <is>
          <t>Passed</t>
        </is>
      </c>
    </row>
    <row r="25" ht="50" customHeight="1">
      <c r="A25" s="15" t="inlineStr">
        <is>
          <t>SR_TC24</t>
        </is>
      </c>
      <c r="B25" s="16" t="inlineStr">
        <is>
          <t>Verify direct POST submission to update budget details endpoint (/application/&lt;id&gt;/budget/).</t>
        </is>
      </c>
      <c r="C25" s="16" t="inlineStr">
        <is>
          <t>Request is blocked with HTTP 403 Forbidden ('You do not have permission to edit budget details.').</t>
        </is>
      </c>
      <c r="D25" s="16" t="inlineStr">
        <is>
          <t>Returns HTTP 403 Forbidden: 'You do not have permission to edit budget details.'.</t>
        </is>
      </c>
      <c r="E25" s="17" t="inlineStr">
        <is>
          <t>https://drive.google.com/open?id=screenshots_SR_TC24</t>
        </is>
      </c>
      <c r="F25" s="7" t="inlineStr">
        <is>
          <t>Passed</t>
        </is>
      </c>
    </row>
    <row r="26" ht="50" customHeight="1">
      <c r="A26" s="12" t="inlineStr">
        <is>
          <t>SR_TC25</t>
        </is>
      </c>
      <c r="B26" s="13" t="inlineStr">
        <is>
          <t>Verify 'Notify Applicant' action banner is NOT accessible to System Reviewer.</t>
        </is>
      </c>
      <c r="C26" s="13" t="inlineStr">
        <is>
          <t>Notify Applicant action is hidden (can_notify evaluates to False).</t>
        </is>
      </c>
      <c r="D26" s="13" t="inlineStr">
        <is>
          <t>Notification action buttons are completely hidden from System Reviewer.</t>
        </is>
      </c>
      <c r="E26" s="14" t="inlineStr">
        <is>
          <t>https://drive.google.com/open?id=screenshots_SR_TC25</t>
        </is>
      </c>
      <c r="F26" s="7" t="inlineStr">
        <is>
          <t>Passed</t>
        </is>
      </c>
    </row>
    <row r="27" ht="50" customHeight="1">
      <c r="A27" s="15" t="inlineStr">
        <is>
          <t>SR_TC26</t>
        </is>
      </c>
      <c r="B27" s="16" t="inlineStr">
        <is>
          <t>Verify access to Budget Overview page via sidebar link (/budget/).</t>
        </is>
      </c>
      <c r="C27" s="16" t="inlineStr">
        <is>
          <t>Budget Overview page loads showing budget summaries for both Travel and RFG programmes.</t>
        </is>
      </c>
      <c r="D27" s="16" t="inlineStr">
        <is>
          <t>Budget Overview page loads successfully with programme overview cards.</t>
        </is>
      </c>
      <c r="E27" s="17" t="inlineStr">
        <is>
          <t>https://drive.google.com/open?id=screenshots_SR_TC26</t>
        </is>
      </c>
      <c r="F27" s="7" t="inlineStr">
        <is>
          <t>Passed</t>
        </is>
      </c>
    </row>
    <row r="28" ht="50" customHeight="1">
      <c r="A28" s="12" t="inlineStr">
        <is>
          <t>SR_TC27</t>
        </is>
      </c>
      <c r="B28" s="13" t="inlineStr">
        <is>
          <t>Verify display of Total Budget, Approved Spending, and Available Balance on Budget Overview.</t>
        </is>
      </c>
      <c r="C28" s="13" t="inlineStr">
        <is>
          <t>Accurate financial figures rendered; numbers match approved applications in database.</t>
        </is>
      </c>
      <c r="D28" s="13" t="inlineStr">
        <is>
          <t>Total budget, approved spend, and available balance display accurately.</t>
        </is>
      </c>
      <c r="E28" s="14" t="inlineStr">
        <is>
          <t>https://drive.google.com/open?id=screenshots_SR_TC27</t>
        </is>
      </c>
      <c r="F28" s="7" t="inlineStr">
        <is>
          <t>Passed</t>
        </is>
      </c>
    </row>
    <row r="29" ht="50" customHeight="1">
      <c r="A29" s="15" t="inlineStr">
        <is>
          <t>SR_TC28</t>
        </is>
      </c>
      <c r="B29" s="16" t="inlineStr">
        <is>
          <t>Verify 'Add Budget' / 'Set Budget' forms are NOT visible to System Reviewer.</t>
        </is>
      </c>
      <c r="C29" s="16" t="inlineStr">
        <is>
          <t>System Reviewer has read-only access. Budget addition is restricted to Finance accounts.</t>
        </is>
      </c>
      <c r="D29" s="16" t="inlineStr">
        <is>
          <t>Budget edit/add forms and input fields are hidden.</t>
        </is>
      </c>
      <c r="E29" s="17" t="inlineStr">
        <is>
          <t>https://drive.google.com/open?id=screenshots_SR_TC28</t>
        </is>
      </c>
      <c r="F29" s="7" t="inlineStr">
        <is>
          <t>Passed</t>
        </is>
      </c>
    </row>
    <row r="30" ht="50" customHeight="1">
      <c r="A30" s="12" t="inlineStr">
        <is>
          <t>SR_TC29</t>
        </is>
      </c>
      <c r="B30" s="13" t="inlineStr">
        <is>
          <t>Verify direct POST submission to budget save/update endpoint by System Reviewer.</t>
        </is>
      </c>
      <c r="C30" s="13" t="inlineStr">
        <is>
          <t>Request is rejected with HTTP 403 Forbidden (can_manage_acm_budget is False).</t>
        </is>
      </c>
      <c r="D30" s="13" t="inlineStr">
        <is>
          <t>Returns HTTP 403 Forbidden: budget management reserved for Finance accounts.</t>
        </is>
      </c>
      <c r="E30" s="14" t="inlineStr">
        <is>
          <t>https://drive.google.com/open?id=screenshots_SR_TC29</t>
        </is>
      </c>
      <c r="F30" s="7" t="inlineStr">
        <is>
          <t>Passed</t>
        </is>
      </c>
    </row>
    <row r="31" ht="50" customHeight="1">
      <c r="A31" s="15" t="inlineStr">
        <is>
          <t>SR_TC30</t>
        </is>
      </c>
      <c r="B31" s="16" t="inlineStr">
        <is>
          <t>Verify access to User Management section on Profile page (/profile/).</t>
        </is>
      </c>
      <c r="C31" s="16" t="inlineStr">
        <is>
          <t>Profile page displays user list, 'Add User' button, and user management capabilities.</t>
        </is>
      </c>
      <c r="D31" s="16" t="inlineStr">
        <is>
          <t>Profile page loads with full User Management table and administrative controls.</t>
        </is>
      </c>
      <c r="E31" s="17" t="inlineStr">
        <is>
          <t>https://drive.google.com/open?id=screenshots_SR_TC30</t>
        </is>
      </c>
      <c r="F31" s="7" t="inlineStr">
        <is>
          <t>Passed</t>
        </is>
      </c>
    </row>
    <row r="32" ht="50" customHeight="1">
      <c r="A32" s="12" t="inlineStr">
        <is>
          <t>SR_TC31</t>
        </is>
      </c>
      <c r="B32" s="13" t="inlineStr">
        <is>
          <t>Verify User List table displays all registered users with accurate metadata.</t>
        </is>
      </c>
      <c r="C32" s="13" t="inlineStr">
        <is>
          <t>Table displays ID, Name, Username, Email, Global Role, Status, and Programme Roles.</t>
        </is>
      </c>
      <c r="D32" s="13" t="inlineStr">
        <is>
          <t>All registered users (Chairs, Reviewers, Observers, Finance) are listed accurately.</t>
        </is>
      </c>
      <c r="E32" s="14" t="inlineStr">
        <is>
          <t>https://drive.google.com/open?id=screenshots_SR_TC31</t>
        </is>
      </c>
      <c r="F32" s="7" t="inlineStr">
        <is>
          <t>Passed</t>
        </is>
      </c>
    </row>
    <row r="33" ht="50" customHeight="1">
      <c r="A33" s="15" t="inlineStr">
        <is>
          <t>SR_TC32</t>
        </is>
      </c>
      <c r="B33" s="16" t="inlineStr">
        <is>
          <t>Verify adding a new Reviewer user with valid details and programme assignments.</t>
        </is>
      </c>
      <c r="C33" s="16" t="inlineStr">
        <is>
          <t>New user is successfully created in USERS and USER_PROGRAM_ROLES; appears in user table.</t>
        </is>
      </c>
      <c r="D33" s="16" t="inlineStr">
        <is>
          <t>User is created with hashed password, assigned role, and appears in user table.</t>
        </is>
      </c>
      <c r="E33" s="17" t="inlineStr">
        <is>
          <t>https://drive.google.com/open?id=screenshots_SR_TC32</t>
        </is>
      </c>
      <c r="F33" s="7" t="inlineStr">
        <is>
          <t>Passed</t>
        </is>
      </c>
    </row>
    <row r="34" ht="50" customHeight="1">
      <c r="A34" s="12" t="inlineStr">
        <is>
          <t>SR_TC33</t>
        </is>
      </c>
      <c r="B34" s="13" t="inlineStr">
        <is>
          <t>Verify adding a new user with an existing/duplicate username.</t>
        </is>
      </c>
      <c r="C34" s="13" t="inlineStr">
        <is>
          <t>Creation is rejected with validation error message: 'That username is already in use.'.</t>
        </is>
      </c>
      <c r="D34" s="13" t="inlineStr">
        <is>
          <t>Creation fails and surfaces error: 'That username is already in use.'.</t>
        </is>
      </c>
      <c r="E34" s="14" t="inlineStr">
        <is>
          <t>https://drive.google.com/open?id=screenshots_SR_TC33</t>
        </is>
      </c>
      <c r="F34" s="7" t="inlineStr">
        <is>
          <t>Passed</t>
        </is>
      </c>
    </row>
    <row r="35" ht="50" customHeight="1">
      <c r="A35" s="15" t="inlineStr">
        <is>
          <t>SR_TC34</t>
        </is>
      </c>
      <c r="B35" s="16" t="inlineStr">
        <is>
          <t>Verify adding a new user with an existing/duplicate email address.</t>
        </is>
      </c>
      <c r="C35" s="16" t="inlineStr">
        <is>
          <t>Creation is rejected with validation error message: 'That email address is already in use.'.</t>
        </is>
      </c>
      <c r="D35" s="16" t="inlineStr">
        <is>
          <t>Creation fails and surfaces error: 'That email address is already in use.'.</t>
        </is>
      </c>
      <c r="E35" s="17" t="inlineStr">
        <is>
          <t>https://drive.google.com/open?id=screenshots_SR_TC34</t>
        </is>
      </c>
      <c r="F35" s="7" t="inlineStr">
        <is>
          <t>Passed</t>
        </is>
      </c>
    </row>
    <row r="36" ht="50" customHeight="1">
      <c r="A36" s="12" t="inlineStr">
        <is>
          <t>SR_TC35</t>
        </is>
      </c>
      <c r="B36" s="13" t="inlineStr">
        <is>
          <t>Verify adding/editing user with Finance role for a non-finance username.</t>
        </is>
      </c>
      <c r="C36" s="13" t="inlineStr">
        <is>
          <t>Rejected with error: 'Finance access is reserved for tg-finance or rfg-finance.'.</t>
        </is>
      </c>
      <c r="D36" s="13" t="inlineStr">
        <is>
          <t>Validation blocks assignment: 'Finance access is reserved for tg-finance or rfg-finance.'.</t>
        </is>
      </c>
      <c r="E36" s="14" t="inlineStr">
        <is>
          <t>https://drive.google.com/open?id=screenshots_SR_TC35</t>
        </is>
      </c>
      <c r="F36" s="7" t="inlineStr">
        <is>
          <t>Passed</t>
        </is>
      </c>
    </row>
    <row r="37" ht="50" customHeight="1">
      <c r="A37" s="15" t="inlineStr">
        <is>
          <t>SR_TC36</t>
        </is>
      </c>
      <c r="B37" s="16" t="inlineStr">
        <is>
          <t>Verify uploading a profile picture exceeding the 5 MB file size limit when adding user.</t>
        </is>
      </c>
      <c r="C37" s="16" t="inlineStr">
        <is>
          <t>Upload rejected with error message: 'Profile photo must be 5 MB or smaller.'.</t>
        </is>
      </c>
      <c r="D37" s="16" t="inlineStr">
        <is>
          <t>Error surfaced: 'Profile photo must be 5 MB or smaller.'; user not created.</t>
        </is>
      </c>
      <c r="E37" s="17" t="inlineStr">
        <is>
          <t>https://drive.google.com/open?id=screenshots_SR_TC36</t>
        </is>
      </c>
      <c r="F37" s="7" t="inlineStr">
        <is>
          <t>Passed</t>
        </is>
      </c>
    </row>
    <row r="38" ht="50" customHeight="1">
      <c r="A38" s="12" t="inlineStr">
        <is>
          <t>SR_TC37</t>
        </is>
      </c>
      <c r="B38" s="13" t="inlineStr">
        <is>
          <t>Verify updating existing user details (Name, Mobile, Password) from Edit modal.</t>
        </is>
      </c>
      <c r="C38" s="13" t="inlineStr">
        <is>
          <t>User details updated successfully in USERS table; success message displayed.</t>
        </is>
      </c>
      <c r="D38" s="13" t="inlineStr">
        <is>
          <t>User details updated in database and confirmation message shown.</t>
        </is>
      </c>
      <c r="E38" s="14" t="inlineStr">
        <is>
          <t>https://drive.google.com/open?id=screenshots_SR_TC37</t>
        </is>
      </c>
      <c r="F38" s="7" t="inlineStr">
        <is>
          <t>Passed</t>
        </is>
      </c>
    </row>
    <row r="39" ht="50" customHeight="1">
      <c r="A39" s="15" t="inlineStr">
        <is>
          <t>SR_TC38</t>
        </is>
      </c>
      <c r="B39" s="16" t="inlineStr">
        <is>
          <t>Verify deactivating a user account by setting STATUS to 'Inactive'.</t>
        </is>
      </c>
      <c r="C39" s="16" t="inlineStr">
        <is>
          <t>User status updated to 'Inactive' in USERS table.</t>
        </is>
      </c>
      <c r="D39" s="16" t="inlineStr">
        <is>
          <t>User status updated to 'Inactive' in database.</t>
        </is>
      </c>
      <c r="E39" s="17" t="inlineStr">
        <is>
          <t>https://drive.google.com/open?id=screenshots_SR_TC38</t>
        </is>
      </c>
      <c r="F39" s="7" t="inlineStr">
        <is>
          <t>Passed</t>
        </is>
      </c>
    </row>
    <row r="40" ht="50" customHeight="1">
      <c r="A40" s="12" t="inlineStr">
        <is>
          <t>SR_TC39</t>
        </is>
      </c>
      <c r="B40" s="13" t="inlineStr">
        <is>
          <t>Verify that a user deactivated by System Reviewer cannot log into the portal.</t>
        </is>
      </c>
      <c r="C40" s="13" t="inlineStr">
        <is>
          <t>Login attempt fails with 'Account is inactive. Please contact the administrator.'.</t>
        </is>
      </c>
      <c r="D40" s="13" t="inlineStr">
        <is>
          <t>Login blocked with inactive account error message.</t>
        </is>
      </c>
      <c r="E40" s="14" t="inlineStr">
        <is>
          <t>https://drive.google.com/open?id=screenshots_SR_TC39</t>
        </is>
      </c>
      <c r="F40" s="7" t="inlineStr">
        <is>
          <t>Passed</t>
        </is>
      </c>
    </row>
    <row r="41" ht="50" customHeight="1">
      <c r="A41" s="15" t="inlineStr">
        <is>
          <t>SR_TC40</t>
        </is>
      </c>
      <c r="B41" s="16" t="inlineStr">
        <is>
          <t>Verify reactivating an inactive user account by setting STATUS back to 'Active'.</t>
        </is>
      </c>
      <c r="C41" s="16" t="inlineStr">
        <is>
          <t>User status updated to 'Active'; user can now successfully log into the portal.</t>
        </is>
      </c>
      <c r="D41" s="16" t="inlineStr">
        <is>
          <t>Status restored to 'Active'; login succeeds.</t>
        </is>
      </c>
      <c r="E41" s="17" t="inlineStr">
        <is>
          <t>https://drive.google.com/open?id=screenshots_SR_TC40</t>
        </is>
      </c>
      <c r="F41" s="7" t="inlineStr">
        <is>
          <t>Passed</t>
        </is>
      </c>
    </row>
    <row r="42" ht="50" customHeight="1">
      <c r="A42" s="12" t="inlineStr">
        <is>
          <t>SR_TC41</t>
        </is>
      </c>
      <c r="B42" s="13" t="inlineStr">
        <is>
          <t>Verify attempt to rename/modify reserved usernames 'tg-finance' or 'rfg-finance'.</t>
        </is>
      </c>
      <c r="C42" s="13" t="inlineStr">
        <is>
          <t>Modification rejected with error: 'Finance usernames are fixed and cannot be changed.'.</t>
        </is>
      </c>
      <c r="D42" s="13" t="inlineStr">
        <is>
          <t>Blocked with error: 'Finance usernames are fixed and cannot be changed.'.</t>
        </is>
      </c>
      <c r="E42" s="14" t="inlineStr">
        <is>
          <t>https://drive.google.com/open?id=screenshots_SR_TC41</t>
        </is>
      </c>
      <c r="F42" s="7" t="inlineStr">
        <is>
          <t>Passed</t>
        </is>
      </c>
    </row>
    <row r="43" ht="50" customHeight="1">
      <c r="A43" s="15" t="inlineStr">
        <is>
          <t>SR_TC42</t>
        </is>
      </c>
      <c r="B43" s="16" t="inlineStr">
        <is>
          <t>Verify updating programme roles (e.g. promoting Reviewer to Chairman or Observer).</t>
        </is>
      </c>
      <c r="C43" s="16" t="inlineStr">
        <is>
          <t>USER_PROGRAM_ROLES record updated; user immediately receives new programme permissions.</t>
        </is>
      </c>
      <c r="D43" s="16" t="inlineStr">
        <is>
          <t>USER_PROGRAM_ROLES updated; permissions reflected on user's next request.</t>
        </is>
      </c>
      <c r="E43" s="17" t="inlineStr">
        <is>
          <t>https://drive.google.com/open?id=screenshots_SR_TC42</t>
        </is>
      </c>
      <c r="F43" s="7" t="inlineStr">
        <is>
          <t>Passed</t>
        </is>
      </c>
    </row>
    <row r="44" ht="50" customHeight="1">
      <c r="A44" s="12" t="inlineStr">
        <is>
          <t>SR_TC43</t>
        </is>
      </c>
      <c r="B44" s="13" t="inlineStr">
        <is>
          <t>Verify System Reviewer updating their own profile details (Name, Email, Password).</t>
        </is>
      </c>
      <c r="C44" s="13" t="inlineStr">
        <is>
          <t>Details updated in database and current session updated without forcing premature logout.</t>
        </is>
      </c>
      <c r="D44" s="13" t="inlineStr">
        <is>
          <t>Session variables refreshed; user remains logged in with updated credentials.</t>
        </is>
      </c>
      <c r="E44" s="14" t="inlineStr">
        <is>
          <t>https://drive.google.com/open?id=screenshots_SR_TC43</t>
        </is>
      </c>
      <c r="F44" s="7" t="inlineStr">
        <is>
          <t>Passed</t>
        </is>
      </c>
    </row>
  </sheetData>
  <dataValidations count="1">
    <dataValidation sqref="F2:F44" showDropDown="0" showInputMessage="0" showErrorMessage="0" allowBlank="1" errorTitle="Invalid Entry" error="Your entry is not in the list" promptTitle="Status Selection" prompt="Please select from the list" type="list">
      <formula1>"Passed,Failed,Pending"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2026-09-16T06:44:47Z</dcterms:created>
  <dcterms:modified xsi:type="dcterms:W3CDTF">2026-09-16T06:44:47Z</dcterms:modified>
</cp:coreProperties>
</file>